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obsidian\notes\Active Projects\Satisfactory Calculator\"/>
    </mc:Choice>
  </mc:AlternateContent>
  <xr:revisionPtr revIDLastSave="0" documentId="13_ncr:1_{8EE79042-CFFD-4D36-8457-E1772BC59F7C}" xr6:coauthVersionLast="47" xr6:coauthVersionMax="47" xr10:uidLastSave="{00000000-0000-0000-0000-000000000000}"/>
  <bookViews>
    <workbookView xWindow="-120" yWindow="-120" windowWidth="38640" windowHeight="21120" xr2:uid="{00000000-000D-0000-FFFF-FFFF00000000}"/>
  </bookViews>
  <sheets>
    <sheet name="Modular Frames" sheetId="1" r:id="rId1"/>
  </sheets>
  <definedNames>
    <definedName name="MACHINE_CLOCK" comment="Calculates the clock speed that a group of machines must be set to in order to produce the specified number of items per minute given the whole number of machines in the group and the number of items that each machine produces per minute">_xlfn.LAMBDA(_xlpm.output_total,_xlpm.output_ea,_xlpm.machine_count, _xlfn.CEILING.MATH(_xlpm.output_total/(_xlpm.output_ea*_xlpm.machine_count),0.01))</definedName>
    <definedName name="MACHINE_COUNT" comment="The number of whole machines required to produce a desired number of parts per minute, given the number of parts that a single machine produces each minute">_xlfn.LAMBDA(_xlpm.output_total,_xlpm.output_ea, IF(MOD(_xlpm.output_total, _xlpm.output_ea)=0, _xlpm.output_total / _xlpm.output_ea, _xlfn.FLOOR.MATH( _xlpm.output_total / _xlpm.output_ea )+1))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 l="1" a="1"/>
  <c r="B18" i="1" s="1"/>
  <c r="B17" i="1" s="1" a="1"/>
  <c r="B17" i="1" s="1"/>
  <c r="B21" i="1"/>
  <c r="B19" i="1" l="1"/>
  <c r="B32" i="1" s="1"/>
  <c r="B29" i="1" l="1" a="1"/>
  <c r="B29" i="1" s="1"/>
  <c r="B28" i="1" s="1" a="1"/>
  <c r="B28" i="1" s="1"/>
  <c r="B20" i="1"/>
  <c r="B41" i="1" l="1"/>
  <c r="B30" i="1"/>
  <c r="B50" i="1" s="1"/>
  <c r="B31" i="1"/>
  <c r="B48" i="1" l="1" a="1"/>
  <c r="B48" i="1" s="1"/>
  <c r="B47" i="1" s="1" a="1"/>
  <c r="B47" i="1" s="1"/>
  <c r="B39" i="1" a="1"/>
  <c r="B39" i="1" s="1"/>
  <c r="B38" i="1" s="1" a="1"/>
  <c r="B38" i="1" s="1"/>
  <c r="B59" i="1"/>
  <c r="B57" i="1" l="1" a="1"/>
  <c r="B57" i="1" s="1"/>
  <c r="B56" i="1" s="1" a="1"/>
  <c r="B56" i="1" s="1"/>
  <c r="B40" i="1"/>
  <c r="B49" i="1"/>
  <c r="B58" i="1" l="1"/>
  <c r="B10"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<sst xmlns="http://schemas.openxmlformats.org/spreadsheetml/2006/main" count="73" uniqueCount="20">
  <si>
    <t>Factory Outputs</t>
  </si>
  <si>
    <t>Modular Frame</t>
  </si>
  <si>
    <t>Iron Rod</t>
  </si>
  <si>
    <t>Reinforced Iron Plate</t>
  </si>
  <si>
    <t>Iron Plate</t>
  </si>
  <si>
    <t>Wire</t>
  </si>
  <si>
    <t>Iron Ingot</t>
  </si>
  <si>
    <t>Input/ea</t>
  </si>
  <si>
    <t>Output/ea</t>
  </si>
  <si>
    <t>Clock</t>
  </si>
  <si>
    <t>Count</t>
  </si>
  <si>
    <t>Input</t>
  </si>
  <si>
    <t>Output</t>
  </si>
  <si>
    <t>Factory Inputs</t>
  </si>
  <si>
    <t>Modular Frame (Assembler)</t>
  </si>
  <si>
    <t>Iron Rod (Constructor)</t>
  </si>
  <si>
    <t>Stitched Iron Plate (Assembler)</t>
  </si>
  <si>
    <t>Iron Plate (Constructor)</t>
  </si>
  <si>
    <t>Iron Wire (Constructor)</t>
  </si>
  <si>
    <t>we get this from the copper factory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</si>
</sst>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scheme val="minor"/>
    </font>
    <font>
      <sz val="10"/>
      <color theme="1"/>
      <name val="Arial"/>
      <scheme val="minor"/>
    </font>
    <font>
      <sz val="10"/>
      <color theme="1"/>
      <name val="Arial"/>
    </font>
    <font>
      <sz val="10"/>
      <color rgb="FF000000"/>
      <name val="Arial"/>
      <scheme val="minor"/>
    </font>
  </fonts>
  <fills count="2">
    <fill>
      <patternFill patternType="none"/>
    </fill>
    <fill>
      <patternFill patternType="gray125"/>
    </fill>
  </fills>
  <borders count="1">
    <border>
      <left/>
      <right/>
      <top/>
      <bottom/>
      <diagonal/>
    </border>
  </borders>
  <cellStyleXfs count="2">
    <xf numFmtId="0" fontId="0" fillId="0" borderId="0"/>
    <xf numFmtId="9" fontId="4" fillId="0" borderId="0" applyFont="0" applyFill="0" applyBorder="0" applyAlignment="0" applyProtection="0"/>
  </cellStyleXfs>
  <cellXfs count="10">
    <xf numFmtId="0" fontId="0" fillId="0" borderId="0" xfId="0"/>
    <xf numFmtId="0" fontId="1" fillId="0" borderId="0" xfId="0" applyFont="1" applyAlignment="1">
      <alignment horizontal="center"/>
    </xf>
    <xf numFmtId="0" fontId="2"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right"/>
    </xf>
    <xf numFmtId="0" fontId="1" fillId="0" borderId="0" xfId="0" applyFont="1" applyAlignment="1">
      <alignment horizontal="center"/>
    </xf>
    <xf numFmtId="0" fontId="0" fillId="0" borderId="0" xfId="0"/>
    <xf numFmtId="9" fontId="2" fillId="0" borderId="0" xfId="1" applyFont="1"/>
    <xf numFmtId="9" fontId="3" fillId="0" borderId="0" xfId="1" applyFont="1" applyAlignment="1">
      <alignment horizontal="righ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9"/>
  <sheetViews>
    <sheetView tabSelected="1" zoomScale="120" zoomScaleNormal="120" workbookViewId="0">
      <selection activeCell="D25" sqref="D25"/>
    </sheetView>
  </sheetViews>
  <sheetFormatPr defaultColWidth="12.5703125" defaultRowHeight="15.75" customHeight="1" x14ac:dyDescent="0.2"/>
  <cols>
    <col min="1" max="1" width="18.5703125" bestFit="1" customWidth="1"/>
    <col min="2" max="2" width="11.28515625" bestFit="1" customWidth="1"/>
    <col min="3" max="3" width="16.5703125" customWidth="1"/>
  </cols>
  <sheetData>
    <row r="1" spans="1:3" ht="15.75" customHeight="1" x14ac:dyDescent="0.2">
      <c r="A1" s="6" t="s">
        <v>13</v>
      </c>
      <c r="B1" s="7"/>
      <c r="C1" s="7"/>
    </row>
    <row r="2" spans="1:3" ht="15.75" customHeight="1" x14ac:dyDescent="0.2">
      <c r="A2" t="s">
        <v>6</v>
      </c>
      <c r="B2">
        <v>340</v>
      </c>
    </row>
    <row r="4" spans="1:3" ht="12.75" x14ac:dyDescent="0.2">
      <c r="A4" s="6" t="s">
        <v>0</v>
      </c>
      <c r="B4" s="7"/>
      <c r="C4" s="7"/>
    </row>
    <row r="5" spans="1:3" ht="12.75" x14ac:dyDescent="0.2">
      <c r="A5" s="2" t="s">
        <v>1</v>
      </c>
      <c r="B5" s="3">
        <v>5</v>
      </c>
      <c r="C5" s="1"/>
    </row>
    <row r="6" spans="1:3" ht="12.75" x14ac:dyDescent="0.2">
      <c r="A6" s="2" t="s">
        <v>3</v>
      </c>
      <c r="B6" s="3">
        <v>15</v>
      </c>
      <c r="C6" s="1"/>
    </row>
    <row r="7" spans="1:3" ht="12.75" x14ac:dyDescent="0.2">
      <c r="A7" t="s">
        <v>2</v>
      </c>
      <c r="B7" s="3">
        <v>15</v>
      </c>
      <c r="C7" s="1"/>
    </row>
    <row r="8" spans="1:3" ht="12.75" x14ac:dyDescent="0.2">
      <c r="A8" s="2" t="s">
        <v>4</v>
      </c>
      <c r="B8" s="3">
        <v>15</v>
      </c>
      <c r="C8" s="1"/>
    </row>
    <row r="9" spans="1:3" ht="12.75" x14ac:dyDescent="0.2">
      <c r="A9" s="2" t="s">
        <v>5</v>
      </c>
      <c r="B9" s="3">
        <v>0</v>
      </c>
      <c r="C9" t="s">
        <v>19</v>
      </c>
    </row>
    <row r="10" spans="1:3" ht="12.75" x14ac:dyDescent="0.2">
      <c r="A10" s="2" t="s">
        <v>6</v>
      </c>
      <c r="B10" s="3">
        <f>B2-B40-B49-B58</f>
        <v>-108</v>
      </c>
      <c r="C10" s="1"/>
    </row>
    <row r="11" spans="1:3" ht="12.75" x14ac:dyDescent="0.2">
      <c r="A11" s="1"/>
      <c r="B11" s="1"/>
      <c r="C11" s="1"/>
    </row>
    <row r="12" spans="1:3" ht="12.75" x14ac:dyDescent="0.2">
      <c r="A12" s="1"/>
      <c r="B12" s="1"/>
      <c r="C12" s="1"/>
    </row>
    <row r="13" spans="1:3" ht="12.75" x14ac:dyDescent="0.2">
      <c r="A13" s="6" t="s">
        <v>14</v>
      </c>
      <c r="B13" s="7"/>
      <c r="C13" s="7"/>
    </row>
    <row r="14" spans="1:3" ht="12.75" x14ac:dyDescent="0.2">
      <c r="A14" s="4" t="s">
        <v>7</v>
      </c>
      <c r="B14" s="4">
        <v>3</v>
      </c>
      <c r="C14" s="4" t="s">
        <v>3</v>
      </c>
    </row>
    <row r="15" spans="1:3" ht="12.75" x14ac:dyDescent="0.2">
      <c r="A15" s="4" t="s">
        <v>7</v>
      </c>
      <c r="B15" s="4">
        <v>12</v>
      </c>
      <c r="C15" s="4" t="s">
        <v>2</v>
      </c>
    </row>
    <row r="16" spans="1:3" ht="12.75" x14ac:dyDescent="0.2">
      <c r="A16" s="4" t="s">
        <v>8</v>
      </c>
      <c r="B16" s="4">
        <v>2</v>
      </c>
      <c r="C16" s="4" t="s">
        <v>1</v>
      </c>
    </row>
    <row r="17" spans="1:3" ht="12.75" x14ac:dyDescent="0.2">
      <c r="A17" s="4" t="s">
        <v>9</v>
      </c>
      <c r="B17" s="8" cm="1">
        <f t="array" ref="B17">MACHINE_CLOCK(B21,B16,B18)</f>
        <v>0.84</v>
      </c>
    </row>
    <row r="18" spans="1:3" ht="12.75" x14ac:dyDescent="0.2">
      <c r="A18" s="4" t="s">
        <v>10</v>
      </c>
      <c r="B18" s="4" cm="1">
        <f t="array" ref="B18">MACHINE_COUNT(B21, B16)</f>
        <v>3</v>
      </c>
    </row>
    <row r="19" spans="1:3" ht="12.75" x14ac:dyDescent="0.2">
      <c r="A19" s="4" t="s">
        <v>11</v>
      </c>
      <c r="B19" s="4">
        <f>_xlfn.CEILING.MATH(B14*B17*B18)</f>
        <v>8</v>
      </c>
      <c r="C19" s="4" t="s">
        <v>3</v>
      </c>
    </row>
    <row r="20" spans="1:3" ht="12.75" x14ac:dyDescent="0.2">
      <c r="A20" s="4" t="s">
        <v>11</v>
      </c>
      <c r="B20" s="4">
        <f>_xlfn.CEILING.MATH(B15*B17*B18)</f>
        <v>31</v>
      </c>
      <c r="C20" s="4" t="s">
        <v>2</v>
      </c>
    </row>
    <row r="21" spans="1:3" ht="12.75" x14ac:dyDescent="0.2">
      <c r="A21" s="4" t="s">
        <v>12</v>
      </c>
      <c r="B21" s="4">
        <f>B5</f>
        <v>5</v>
      </c>
      <c r="C21" s="4" t="s">
        <v>1</v>
      </c>
    </row>
    <row r="22" spans="1:3" ht="12.75" x14ac:dyDescent="0.2">
      <c r="A22" s="4"/>
      <c r="B22" s="4"/>
      <c r="C22" s="4"/>
    </row>
    <row r="24" spans="1:3" ht="15.75" customHeight="1" x14ac:dyDescent="0.2">
      <c r="A24" s="6" t="s">
        <v>16</v>
      </c>
      <c r="B24" s="7"/>
      <c r="C24" s="7"/>
    </row>
    <row r="25" spans="1:3" ht="12.75" x14ac:dyDescent="0.2">
      <c r="A25" s="4" t="s">
        <v>7</v>
      </c>
      <c r="B25" s="4">
        <v>18.75</v>
      </c>
      <c r="C25" s="4" t="s">
        <v>4</v>
      </c>
    </row>
    <row r="26" spans="1:3" ht="12.75" x14ac:dyDescent="0.2">
      <c r="A26" s="4" t="s">
        <v>7</v>
      </c>
      <c r="B26" s="4">
        <v>37.5</v>
      </c>
      <c r="C26" s="4" t="s">
        <v>5</v>
      </c>
    </row>
    <row r="27" spans="1:3" ht="12.75" x14ac:dyDescent="0.2">
      <c r="A27" s="4" t="s">
        <v>8</v>
      </c>
      <c r="B27" s="4">
        <v>3</v>
      </c>
      <c r="C27" s="4" t="s">
        <v>3</v>
      </c>
    </row>
    <row r="28" spans="1:3" ht="12.75" x14ac:dyDescent="0.2">
      <c r="A28" s="4" t="s">
        <v>9</v>
      </c>
      <c r="B28" s="8" cm="1">
        <f t="array" ref="B28">MACHINE_CLOCK(B32, B27, B29)</f>
        <v>0.96</v>
      </c>
    </row>
    <row r="29" spans="1:3" ht="12.75" x14ac:dyDescent="0.2">
      <c r="A29" s="4" t="s">
        <v>10</v>
      </c>
      <c r="B29" s="4" cm="1">
        <f t="array" ref="B29">MACHINE_COUNT(B32,B27)</f>
        <v>8</v>
      </c>
    </row>
    <row r="30" spans="1:3" ht="12.75" x14ac:dyDescent="0.2">
      <c r="A30" s="4" t="s">
        <v>11</v>
      </c>
      <c r="B30" s="4">
        <f>_xlfn.CEILING.MATH(B25*B28*B29)</f>
        <v>144</v>
      </c>
      <c r="C30" s="4" t="s">
        <v>4</v>
      </c>
    </row>
    <row r="31" spans="1:3" ht="12.75" x14ac:dyDescent="0.2">
      <c r="A31" s="4" t="s">
        <v>11</v>
      </c>
      <c r="B31" s="4">
        <f>_xlfn.CEILING.MATH(B26*B28*B29)</f>
        <v>288</v>
      </c>
      <c r="C31" s="4" t="s">
        <v>5</v>
      </c>
    </row>
    <row r="32" spans="1:3" ht="15.75" customHeight="1" x14ac:dyDescent="0.2">
      <c r="A32" s="4" t="s">
        <v>12</v>
      </c>
      <c r="B32" s="4">
        <f>_xlfn.CEILING.MATH(B19+B6)</f>
        <v>23</v>
      </c>
      <c r="C32" s="4" t="s">
        <v>3</v>
      </c>
    </row>
    <row r="33" spans="1:3" ht="15.75" customHeight="1" x14ac:dyDescent="0.2">
      <c r="A33" s="4"/>
      <c r="B33" s="4"/>
      <c r="C33" s="4"/>
    </row>
    <row r="35" spans="1:3" ht="12.75" x14ac:dyDescent="0.2">
      <c r="A35" s="6" t="s">
        <v>15</v>
      </c>
      <c r="B35" s="7"/>
      <c r="C35" s="7"/>
    </row>
    <row r="36" spans="1:3" ht="12.75" x14ac:dyDescent="0.2">
      <c r="A36" s="4" t="s">
        <v>7</v>
      </c>
      <c r="B36" s="4">
        <v>15</v>
      </c>
      <c r="C36" s="4" t="s">
        <v>6</v>
      </c>
    </row>
    <row r="37" spans="1:3" ht="12.75" x14ac:dyDescent="0.2">
      <c r="A37" s="4" t="s">
        <v>8</v>
      </c>
      <c r="B37" s="4">
        <v>15</v>
      </c>
      <c r="C37" s="4" t="s">
        <v>2</v>
      </c>
    </row>
    <row r="38" spans="1:3" ht="12.75" x14ac:dyDescent="0.2">
      <c r="A38" s="4" t="s">
        <v>9</v>
      </c>
      <c r="B38" s="9" cm="1">
        <f t="array" ref="B38">MACHINE_CLOCK(B41, B37, B39)</f>
        <v>0.77</v>
      </c>
    </row>
    <row r="39" spans="1:3" ht="12.75" x14ac:dyDescent="0.2">
      <c r="A39" s="4" t="s">
        <v>10</v>
      </c>
      <c r="B39" s="5" cm="1">
        <f t="array" ref="B39">MACHINE_COUNT(B41,B37)</f>
        <v>4</v>
      </c>
    </row>
    <row r="40" spans="1:3" ht="12.75" x14ac:dyDescent="0.2">
      <c r="A40" s="4" t="s">
        <v>11</v>
      </c>
      <c r="B40" s="5">
        <f>_xlfn.CEILING.MATH(B36*B38*B39)</f>
        <v>47</v>
      </c>
      <c r="C40" s="4" t="s">
        <v>6</v>
      </c>
    </row>
    <row r="41" spans="1:3" ht="12.75" x14ac:dyDescent="0.2">
      <c r="A41" s="4" t="s">
        <v>12</v>
      </c>
      <c r="B41" s="5">
        <f>_xlfn.CEILING.MATH(B20+B7)</f>
        <v>46</v>
      </c>
      <c r="C41" s="4" t="s">
        <v>2</v>
      </c>
    </row>
    <row r="44" spans="1:3" ht="12.75" x14ac:dyDescent="0.2">
      <c r="A44" s="6" t="s">
        <v>17</v>
      </c>
      <c r="B44" s="7"/>
      <c r="C44" s="7"/>
    </row>
    <row r="45" spans="1:3" ht="12.75" x14ac:dyDescent="0.2">
      <c r="A45" s="4" t="s">
        <v>7</v>
      </c>
      <c r="B45" s="4">
        <v>30</v>
      </c>
      <c r="C45" s="4" t="s">
        <v>6</v>
      </c>
    </row>
    <row r="46" spans="1:3" ht="12.75" x14ac:dyDescent="0.2">
      <c r="A46" s="4" t="s">
        <v>8</v>
      </c>
      <c r="B46" s="4">
        <v>20</v>
      </c>
      <c r="C46" s="4" t="s">
        <v>4</v>
      </c>
    </row>
    <row r="47" spans="1:3" ht="12.75" x14ac:dyDescent="0.2">
      <c r="A47" s="4" t="s">
        <v>9</v>
      </c>
      <c r="B47" s="9" cm="1">
        <f t="array" ref="B47">MACHINE_CLOCK(B50, B46, B48)</f>
        <v>1</v>
      </c>
    </row>
    <row r="48" spans="1:3" ht="12.75" x14ac:dyDescent="0.2">
      <c r="A48" s="4" t="s">
        <v>10</v>
      </c>
      <c r="B48" s="5" cm="1">
        <f t="array" ref="B48">MACHINE_COUNT(B50,B46)</f>
        <v>8</v>
      </c>
    </row>
    <row r="49" spans="1:3" ht="12.75" x14ac:dyDescent="0.2">
      <c r="A49" s="4" t="s">
        <v>11</v>
      </c>
      <c r="B49" s="5">
        <f>_xlfn.CEILING.MATH(B45*B47*B48)</f>
        <v>240</v>
      </c>
      <c r="C49" s="4" t="s">
        <v>6</v>
      </c>
    </row>
    <row r="50" spans="1:3" ht="12.75" x14ac:dyDescent="0.2">
      <c r="A50" s="4" t="s">
        <v>12</v>
      </c>
      <c r="B50" s="5">
        <f>_xlfn.CEILING.MATH(B30+B8)</f>
        <v>159</v>
      </c>
      <c r="C50" s="4" t="s">
        <v>4</v>
      </c>
    </row>
    <row r="53" spans="1:3" ht="12.75" x14ac:dyDescent="0.2">
      <c r="A53" s="6" t="s">
        <v>18</v>
      </c>
      <c r="B53" s="7"/>
      <c r="C53" s="7"/>
    </row>
    <row r="54" spans="1:3" ht="12.75" x14ac:dyDescent="0.2">
      <c r="A54" s="4" t="s">
        <v>7</v>
      </c>
      <c r="B54" s="4">
        <v>12.5</v>
      </c>
      <c r="C54" s="4" t="s">
        <v>6</v>
      </c>
    </row>
    <row r="55" spans="1:3" ht="12.75" x14ac:dyDescent="0.2">
      <c r="A55" s="4" t="s">
        <v>8</v>
      </c>
      <c r="B55" s="4">
        <v>22.5</v>
      </c>
      <c r="C55" s="4" t="s">
        <v>5</v>
      </c>
    </row>
    <row r="56" spans="1:3" ht="12.75" x14ac:dyDescent="0.2">
      <c r="A56" s="4" t="s">
        <v>9</v>
      </c>
      <c r="B56" s="9" cm="1">
        <f t="array" ref="B56">MACHINE_CLOCK(B59, B55, B57)</f>
        <v>0.99</v>
      </c>
    </row>
    <row r="57" spans="1:3" ht="12.75" x14ac:dyDescent="0.2">
      <c r="A57" s="4" t="s">
        <v>10</v>
      </c>
      <c r="B57" s="5" cm="1">
        <f t="array" ref="B57">MACHINE_COUNT(B59,B55)</f>
        <v>13</v>
      </c>
    </row>
    <row r="58" spans="1:3" ht="12.75" x14ac:dyDescent="0.2">
      <c r="A58" s="4" t="s">
        <v>11</v>
      </c>
      <c r="B58" s="5">
        <f>_xlfn.CEILING.MATH(B54*B56*B57)</f>
        <v>161</v>
      </c>
      <c r="C58" s="4" t="s">
        <v>6</v>
      </c>
    </row>
    <row r="59" spans="1:3" ht="12.75" x14ac:dyDescent="0.2">
      <c r="A59" s="4" t="s">
        <v>12</v>
      </c>
      <c r="B59" s="5">
        <f>_xlfn.CEILING.MATH(B31+B9)</f>
        <v>288</v>
      </c>
      <c r="C59" s="4" t="s">
        <v>5</v>
      </c>
    </row>
  </sheetData>
  <mergeCells count="7">
    <mergeCell ref="A53:C53"/>
    <mergeCell ref="A1:C1"/>
    <mergeCell ref="A4:C4"/>
    <mergeCell ref="A13:C13"/>
    <mergeCell ref="A35:C35"/>
    <mergeCell ref="A24:C24"/>
    <mergeCell ref="A44:C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Modular Frames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Fritz</cp:lastModifiedBy>
  <dcterms:created xsi:type="dcterms:W3CDTF">2026-03-26T12:43:58Z</dcterms:created>
  <dcterms:modified xsi:type="dcterms:W3CDTF">2026-04-03T02:49:23Z</dcterms:modified>
</cp:coreProperties>
</file>